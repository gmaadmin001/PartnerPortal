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Test Cases"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1E2E61"/>
      <sz val="18"/>
    </font>
    <font>
      <name val="Calibri"/>
      <color rgb="00222222"/>
      <sz val="11"/>
    </font>
    <font>
      <name val="Calibri"/>
      <b val="1"/>
      <color rgb="001C66AD"/>
      <sz val="12"/>
    </font>
    <font>
      <b val="1"/>
      <color rgb="00FFFFFF"/>
      <sz val="11"/>
    </font>
    <font>
      <b val="1"/>
      <color rgb="001E2E61"/>
    </font>
    <font>
      <b val="1"/>
      <color rgb="001C66AD"/>
      <sz val="9"/>
    </font>
    <font>
      <color rgb="00222222"/>
      <sz val="10"/>
    </font>
    <font>
      <b val="1"/>
      <color rgb="001E2E61"/>
      <sz val="16"/>
    </font>
    <font>
      <b val="1"/>
    </font>
    <font>
      <b val="1"/>
      <color rgb="00FFFFFF"/>
    </font>
    <font>
      <sz val="10"/>
    </font>
  </fonts>
  <fills count="6">
    <fill>
      <patternFill/>
    </fill>
    <fill>
      <patternFill patternType="gray125"/>
    </fill>
    <fill>
      <patternFill patternType="solid">
        <fgColor rgb="001E2E61"/>
      </patternFill>
    </fill>
    <fill>
      <patternFill patternType="solid">
        <fgColor rgb="00EEF2FB"/>
      </patternFill>
    </fill>
    <fill>
      <patternFill patternType="solid">
        <fgColor rgb="00FFFFFF"/>
      </patternFill>
    </fill>
    <fill>
      <patternFill patternType="solid">
        <fgColor rgb="00F3F4F6"/>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3" borderId="1" applyAlignment="1" pivotButton="0" quotePrefix="0" xfId="0">
      <alignment vertical="top" wrapText="1"/>
    </xf>
    <xf numFmtId="0" fontId="7" fillId="3" borderId="1" applyAlignment="1" pivotButton="0" quotePrefix="0" xfId="0">
      <alignment vertical="top" wrapText="1"/>
    </xf>
    <xf numFmtId="0" fontId="7"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4" borderId="1" applyAlignment="1" pivotButton="0" quotePrefix="0" xfId="0">
      <alignment horizontal="center" vertical="center" wrapText="1"/>
    </xf>
    <xf numFmtId="0" fontId="8" fillId="0" borderId="0" pivotButton="0" quotePrefix="0" xfId="0"/>
    <xf numFmtId="0" fontId="9" fillId="0" borderId="0" pivotButton="0" quotePrefix="0" xfId="0"/>
    <xf numFmtId="0" fontId="10" fillId="2" borderId="1" applyAlignment="1" pivotButton="0" quotePrefix="0" xfId="0">
      <alignment horizontal="center" vertical="center" wrapText="1"/>
    </xf>
    <xf numFmtId="0" fontId="11" fillId="0" borderId="1" pivotButton="0" quotePrefix="0" xfId="0"/>
    <xf numFmtId="0" fontId="0" fillId="0" borderId="1" applyAlignment="1" pivotButton="0" quotePrefix="0" xfId="0">
      <alignment horizontal="center" vertical="center" wrapText="1"/>
    </xf>
    <xf numFmtId="0" fontId="5" fillId="5" borderId="1" pivotButton="0" quotePrefix="0" xfId="0"/>
    <xf numFmtId="0" fontId="9"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showGridLines="0" workbookViewId="0">
      <selection activeCell="A1" sqref="A1"/>
    </sheetView>
  </sheetViews>
  <sheetFormatPr baseColWidth="8" defaultRowHeight="15"/>
  <cols>
    <col width="120" customWidth="1" min="1" max="1"/>
  </cols>
  <sheetData>
    <row r="1" ht="26" customHeight="1">
      <c r="A1" s="1" t="inlineStr">
        <is>
          <t>PartnerPortal — Functional Test Plan</t>
        </is>
      </c>
    </row>
    <row r="2" ht="16" customHeight="1">
      <c r="A2" s="2" t="inlineStr">
        <is>
          <t>A click-by-click test plan for a non-technical tester. Work through the 'Test Cases' tab top to bottom. For each case follow the Steps, compare to Expected Result, then set Result to Pass/Fail and add Notes.</t>
        </is>
      </c>
    </row>
    <row r="3" ht="8" customHeight="1">
      <c r="A3" s="2" t="inlineStr"/>
    </row>
    <row r="4" ht="20" customHeight="1">
      <c r="A4" s="3" t="inlineStr">
        <is>
          <t>Where you're testing</t>
        </is>
      </c>
    </row>
    <row r="5" ht="16" customHeight="1">
      <c r="A5" s="2" t="inlineStr">
        <is>
          <t>Site address (URL):  https://partnerportal.gmaadmin001.workers.dev</t>
        </is>
      </c>
    </row>
    <row r="6" ht="16" customHeight="1">
      <c r="A6" s="2" t="inlineStr">
        <is>
          <t>Use Chrome or Edge. For 'logged out' tests, use a private/incognito window so old logins don't interfere.</t>
        </is>
      </c>
    </row>
    <row r="7" ht="8" customHeight="1">
      <c r="A7" s="2" t="inlineStr"/>
    </row>
    <row r="8" ht="20" customHeight="1">
      <c r="A8" s="3" t="inlineStr">
        <is>
          <t>Stripe is in TEST mode — no real money moves</t>
        </is>
      </c>
    </row>
    <row r="9" ht="16" customHeight="1">
      <c r="A9" s="2" t="inlineStr">
        <is>
          <t>Card that SUCCEEDS:   4242 4242 4242 4242</t>
        </is>
      </c>
    </row>
    <row r="10" ht="16" customHeight="1">
      <c r="A10" s="2" t="inlineStr">
        <is>
          <t>Card that is DECLINED: 4000 0000 0000 0002</t>
        </is>
      </c>
    </row>
    <row r="11" ht="16" customHeight="1">
      <c r="A11" s="2" t="inlineStr">
        <is>
          <t>Expiry: any future date (e.g. 12 / 34)   CVC: any 3 digits (e.g. 123)   ZIP: any 5 digits (e.g. 10001)</t>
        </is>
      </c>
    </row>
    <row r="12" ht="8" customHeight="1">
      <c r="A12" s="2" t="inlineStr"/>
    </row>
    <row r="13" ht="20" customHeight="1">
      <c r="A13" s="3" t="inlineStr">
        <is>
          <t>Emails</t>
        </is>
      </c>
    </row>
    <row r="14" ht="16" customHeight="1">
      <c r="A14" s="2" t="inlineStr">
        <is>
          <t>Use a REAL inbox you control — several tests need you to open an email and click a link.</t>
        </is>
      </c>
    </row>
    <row r="15" ht="16" customHeight="1">
      <c r="A15" s="2" t="inlineStr">
        <is>
          <t>Use a FRESH email for every new registration. The Gmail '+' trick works: yourname+test1@gmail.com, +test2, etc.</t>
        </is>
      </c>
    </row>
    <row r="16" ht="8" customHeight="1">
      <c r="A16" s="2" t="inlineStr"/>
    </row>
    <row r="17" ht="20" customHeight="1">
      <c r="A17" s="3" t="inlineStr">
        <is>
          <t>Admin access (Sections G &amp; H)</t>
        </is>
      </c>
    </row>
    <row r="18" ht="16" customHeight="1">
      <c r="A18" s="2" t="inlineStr">
        <is>
          <t>Admin email (FILL IN): _______________________   Admins sign in with a magic link (no password).</t>
        </is>
      </c>
    </row>
    <row r="19" ht="16" customHeight="1">
      <c r="A19" s="2" t="inlineStr">
        <is>
          <t>You also need access to that admin inbox to click the magic link and read notification emails.</t>
        </is>
      </c>
    </row>
    <row r="20" ht="8" customHeight="1">
      <c r="A20" s="2" t="inlineStr"/>
    </row>
    <row r="21" ht="20" customHeight="1">
      <c r="A21" s="3" t="inlineStr">
        <is>
          <t>What 'pending review' means</t>
        </is>
      </c>
    </row>
    <row r="22" ht="16" customHeight="1">
      <c r="A22" s="2" t="inlineStr">
        <is>
          <t>Paid registrations, claims, and badge purchases do NOT go live instantly — they land in an admin queue and an admin must approve them (Section G). Run those tests in pairs: do the customer action, then approve as the admin.</t>
        </is>
      </c>
    </row>
    <row r="23" ht="8" customHeight="1">
      <c r="A23" s="2" t="inlineStr"/>
    </row>
    <row r="24" ht="20" customHeight="1">
      <c r="A24" s="3" t="inlineStr">
        <is>
          <t>How to report</t>
        </is>
      </c>
    </row>
    <row r="25" ht="16" customHeight="1">
      <c r="A25" s="2" t="inlineStr">
        <is>
          <t>Set Result to Pass or Fail (dropdown). On a failure, in Notes write: what you clicked, what you expected, what actually happened, and attach a screenshot if you can. Do not try to fix anything — just record it.</t>
        </is>
      </c>
    </row>
    <row r="26" ht="8" customHeight="1">
      <c r="A26" s="2" t="inlineStr"/>
    </row>
    <row r="27" ht="20" customHeight="1">
      <c r="A27" s="3" t="inlineStr">
        <is>
          <t>User Acceptance (UAT) tests</t>
        </is>
      </c>
    </row>
    <row r="28" ht="16" customHeight="1">
      <c r="A28" s="2" t="inlineStr">
        <is>
          <t>On the Test Cases tab, the UAT column marks the core business journeys for sign-off (the happy-path registration/payment, login/reset, profile edit, claim, plan upgrade/badge, and admin approvals). Rows without a UAT mark are QA/system checks (validation, edge cases, role/tooling-dependent).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8"/>
  <sheetViews>
    <sheetView showGridLines="0" workbookViewId="0">
      <pane ySplit="1" topLeftCell="A2" activePane="bottomLeft" state="frozen"/>
      <selection pane="bottomLeft" activeCell="A1" sqref="A1"/>
    </sheetView>
  </sheetViews>
  <sheetFormatPr baseColWidth="8" defaultRowHeight="15"/>
  <cols>
    <col width="7" customWidth="1" min="1" max="1"/>
    <col width="9" customWidth="1" min="2" max="2"/>
    <col width="20" customWidth="1" min="3" max="3"/>
    <col width="30" customWidth="1" min="4" max="4"/>
    <col width="26" customWidth="1" min="5" max="5"/>
    <col width="62" customWidth="1" min="6" max="6"/>
    <col width="58" customWidth="1" min="7" max="7"/>
    <col width="12" customWidth="1" min="8" max="8"/>
    <col width="34" customWidth="1" min="9" max="9"/>
  </cols>
  <sheetData>
    <row r="1" ht="22" customHeight="1">
      <c r="A1" s="4" t="inlineStr">
        <is>
          <t>ID</t>
        </is>
      </c>
      <c r="B1" s="4" t="inlineStr">
        <is>
          <t>UAT</t>
        </is>
      </c>
      <c r="C1" s="4" t="inlineStr">
        <is>
          <t>Section</t>
        </is>
      </c>
      <c r="D1" s="4" t="inlineStr">
        <is>
          <t>Test Case</t>
        </is>
      </c>
      <c r="E1" s="4" t="inlineStr">
        <is>
          <t>Preconditions</t>
        </is>
      </c>
      <c r="F1" s="4" t="inlineStr">
        <is>
          <t>Steps</t>
        </is>
      </c>
      <c r="G1" s="4" t="inlineStr">
        <is>
          <t>Expected Result</t>
        </is>
      </c>
      <c r="H1" s="4" t="inlineStr">
        <is>
          <t>Result</t>
        </is>
      </c>
      <c r="I1" s="4" t="inlineStr">
        <is>
          <t>Notes</t>
        </is>
      </c>
    </row>
    <row r="2" ht="48" customHeight="1">
      <c r="A2" s="5" t="inlineStr">
        <is>
          <t>A1</t>
        </is>
      </c>
      <c r="B2" s="5" t="inlineStr">
        <is>
          <t>Yes</t>
        </is>
      </c>
      <c r="C2" s="6" t="inlineStr">
        <is>
          <t>A — Public Directory &amp; Search</t>
        </is>
      </c>
      <c r="D2" s="7" t="inlineStr">
        <is>
          <t>Browse the services directory</t>
        </is>
      </c>
      <c r="E2" s="7" t="inlineStr">
        <is>
          <t>Not logged in (incognito ok).</t>
        </is>
      </c>
      <c r="F2" s="7" t="inlineStr">
        <is>
          <t>1. Go to /services.
2. Wait for the page to load.</t>
        </is>
      </c>
      <c r="G2" s="7" t="inlineStr">
        <is>
          <t>Search bar at top; a list of provider cards below (company name, category, short description, View Profile button). A count like 'N providers found' shows.</t>
        </is>
      </c>
      <c r="H2" s="8" t="inlineStr">
        <is>
          <t>Not Run</t>
        </is>
      </c>
      <c r="I2" s="7" t="inlineStr"/>
    </row>
    <row r="3" ht="64" customHeight="1">
      <c r="A3" s="5" t="inlineStr">
        <is>
          <t>A2</t>
        </is>
      </c>
      <c r="B3" s="5" t="inlineStr"/>
      <c r="C3" s="6" t="inlineStr">
        <is>
          <t>A — Public Directory &amp; Search</t>
        </is>
      </c>
      <c r="D3" s="7" t="inlineStr">
        <is>
          <t>Filter by Category and Sub-Category</t>
        </is>
      </c>
      <c r="E3" s="7" t="inlineStr">
        <is>
          <t>On /services.</t>
        </is>
      </c>
      <c r="F3" s="7" t="inlineStr">
        <is>
          <t>1. In Filters, open Service Category and pick one (e.g. Housing &amp; Accommodation).
2. Click Apply Filters.
3. Type into Sub-Category (e.g. Corporate Housing) and click Apply Filters again.</t>
        </is>
      </c>
      <c r="G3" s="7" t="inlineStr">
        <is>
          <t>Results shrink to the category and a filter chip appears. Sub-Category narrows further. Count updates each time.</t>
        </is>
      </c>
      <c r="H3" s="8" t="inlineStr">
        <is>
          <t>Not Run</t>
        </is>
      </c>
      <c r="I3" s="7" t="inlineStr"/>
    </row>
    <row r="4" ht="48" customHeight="1">
      <c r="A4" s="5" t="inlineStr">
        <is>
          <t>A3</t>
        </is>
      </c>
      <c r="B4" s="5" t="inlineStr"/>
      <c r="C4" s="6" t="inlineStr">
        <is>
          <t>A — Public Directory &amp; Search</t>
        </is>
      </c>
      <c r="D4" s="7" t="inlineStr">
        <is>
          <t>Filter by location (Country Served)</t>
        </is>
      </c>
      <c r="E4" s="7" t="inlineStr">
        <is>
          <t>On /services.</t>
        </is>
      </c>
      <c r="F4" s="7" t="inlineStr">
        <is>
          <t>1. Click Clear all.
2. Open Country Served and choose a country with providers.
3. Click Apply Filters.</t>
        </is>
      </c>
      <c r="G4" s="7" t="inlineStr">
        <is>
          <t>Only providers serving that country remain; a 'Country: …' chip appears; count updates. Empty result shows 'No results found' + Clear Filters.</t>
        </is>
      </c>
      <c r="H4" s="8" t="inlineStr">
        <is>
          <t>Not Run</t>
        </is>
      </c>
      <c r="I4" s="7" t="inlineStr"/>
    </row>
    <row r="5" ht="48" customHeight="1">
      <c r="A5" s="5" t="inlineStr">
        <is>
          <t>A4</t>
        </is>
      </c>
      <c r="B5" s="5" t="inlineStr"/>
      <c r="C5" s="6" t="inlineStr">
        <is>
          <t>A — Public Directory &amp; Search</t>
        </is>
      </c>
      <c r="D5" s="7" t="inlineStr">
        <is>
          <t>Filter by size / delivery / diversity, then Clear all</t>
        </is>
      </c>
      <c r="E5" s="7" t="inlineStr">
        <is>
          <t>On /services.</t>
        </is>
      </c>
      <c r="F5" s="7" t="inlineStr">
        <is>
          <t>1. Click Clear all.
2. Pick a Company Size (e.g. 51–500), Apply Filters.
3. Click a Diversity toggle (e.g. Woman-Owned), Apply Filters.
4. Click Clear all.</t>
        </is>
      </c>
      <c r="G5" s="7" t="inlineStr">
        <is>
          <t>Each filter narrows results and adds a chip. Clear all removes every chip and restores the full list.</t>
        </is>
      </c>
      <c r="H5" s="8" t="inlineStr">
        <is>
          <t>Not Run</t>
        </is>
      </c>
      <c r="I5" s="7" t="inlineStr"/>
    </row>
    <row r="6" ht="48" customHeight="1">
      <c r="A6" s="5" t="inlineStr">
        <is>
          <t>A5</t>
        </is>
      </c>
      <c r="B6" s="5" t="inlineStr">
        <is>
          <t>Yes</t>
        </is>
      </c>
      <c r="C6" s="6" t="inlineStr">
        <is>
          <t>A — Public Directory &amp; Search</t>
        </is>
      </c>
      <c r="D6" s="7" t="inlineStr">
        <is>
          <t>Open a provider profile</t>
        </is>
      </c>
      <c r="E6" s="7" t="inlineStr">
        <is>
          <t>On /services.</t>
        </is>
      </c>
      <c r="F6" s="7" t="inlineStr">
        <is>
          <t>1. Click View Profile on any card.</t>
        </is>
      </c>
      <c r="G6" s="7" t="inlineStr">
        <is>
          <t>Full profile opens: company name, description, meta chips (category, HQ, type), plan-dependent sections, and a '← Back to results' link.</t>
        </is>
      </c>
      <c r="H6" s="8" t="inlineStr">
        <is>
          <t>Not Run</t>
        </is>
      </c>
      <c r="I6" s="7" t="inlineStr"/>
    </row>
    <row r="7" ht="46" customHeight="1">
      <c r="A7" s="5" t="inlineStr">
        <is>
          <t>A6</t>
        </is>
      </c>
      <c r="B7" s="5" t="inlineStr"/>
      <c r="C7" s="6" t="inlineStr">
        <is>
          <t>A — Public Directory &amp; Search</t>
        </is>
      </c>
      <c r="D7" s="7" t="inlineStr">
        <is>
          <t>Verified / Recommended badges show on the right providers</t>
        </is>
      </c>
      <c r="E7" s="7" t="inlineStr">
        <is>
          <t>Browsing /services.</t>
        </is>
      </c>
      <c r="F7" s="7" t="inlineStr">
        <is>
          <t>1. Scan cards and several profiles.
2. Look for green '✓ Verified' on cards and VERIFIED / RECOMMENDED on profiles.</t>
        </is>
      </c>
      <c r="G7" s="7" t="inlineStr">
        <is>
          <t>Badges appear only on providers that have them, not on every provider. (Toggling is confirmed in G6/G7.)</t>
        </is>
      </c>
      <c r="H7" s="8" t="inlineStr">
        <is>
          <t>Not Run</t>
        </is>
      </c>
      <c r="I7" s="7" t="inlineStr"/>
    </row>
    <row r="8" ht="48" customHeight="1">
      <c r="A8" s="5" t="inlineStr">
        <is>
          <t>A7</t>
        </is>
      </c>
      <c r="B8" s="5" t="inlineStr">
        <is>
          <t>Yes</t>
        </is>
      </c>
      <c r="C8" s="6" t="inlineStr">
        <is>
          <t>A — Public Directory &amp; Search</t>
        </is>
      </c>
      <c r="D8" s="7" t="inlineStr">
        <is>
          <t>Free (Basic) listings hide paid-only content</t>
        </is>
      </c>
      <c r="E8" s="7" t="inlineStr">
        <is>
          <t>Browsing /services.</t>
        </is>
      </c>
      <c r="F8" s="7" t="inlineStr">
        <is>
          <t>1. Open a Basic provider profile and a Professional/Premier one (plan shows in Company Info).</t>
        </is>
      </c>
      <c r="G8" s="7" t="inlineStr">
        <is>
          <t>Basic profile omits richer sections (About bio, Contact Details, Photo Gallery, Core Services); paid profile shows more. Nothing looks broken.</t>
        </is>
      </c>
      <c r="H8" s="8" t="inlineStr">
        <is>
          <t>Not Run</t>
        </is>
      </c>
      <c r="I8" s="7" t="inlineStr"/>
    </row>
    <row r="9" ht="80" customHeight="1">
      <c r="A9" s="9" t="inlineStr">
        <is>
          <t>B1</t>
        </is>
      </c>
      <c r="B9" s="9" t="inlineStr">
        <is>
          <t>Yes</t>
        </is>
      </c>
      <c r="C9" s="10" t="inlineStr">
        <is>
          <t>B — Registration &amp; Payment</t>
        </is>
      </c>
      <c r="D9" s="11" t="inlineStr">
        <is>
          <t>Register on the Basic (free) tier</t>
        </is>
      </c>
      <c r="E9" s="11" t="inlineStr">
        <is>
          <t>Fresh email. Not logged in.</t>
        </is>
      </c>
      <c r="F9" s="11" t="inlineStr">
        <is>
          <t>1. /register. Step 1: click Vendor, choose Primary Category, Continue →.
2. Step 2: fill Company Name, Name, Email; Continue →.
3. Step 3: on Basic click Get Listed Free, Continue →.
4. Step 4: confirm Email, set Password + Confirm Password (all 5 rules on), click Create Account.</t>
        </is>
      </c>
      <c r="G9" s="11" t="inlineStr">
        <is>
          <t>No payment page. Success screen reads 'You're listed!' with 'Go to Dashboard →'. Clicking it lands on the dashboard, logged in.</t>
        </is>
      </c>
      <c r="H9" s="12" t="inlineStr">
        <is>
          <t>Not Run</t>
        </is>
      </c>
      <c r="I9" s="11" t="inlineStr"/>
    </row>
    <row r="10" ht="64" customHeight="1">
      <c r="A10" s="9" t="inlineStr">
        <is>
          <t>B2</t>
        </is>
      </c>
      <c r="B10" s="9" t="inlineStr">
        <is>
          <t>Yes</t>
        </is>
      </c>
      <c r="C10" s="10" t="inlineStr">
        <is>
          <t>B — Registration &amp; Payment</t>
        </is>
      </c>
      <c r="D10" s="11" t="inlineStr">
        <is>
          <t>Register Professional (monthly), pay with test card</t>
        </is>
      </c>
      <c r="E10" s="11" t="inlineStr">
        <is>
          <t>Fresh email.</t>
        </is>
      </c>
      <c r="F10" s="11" t="inlineStr">
        <is>
          <t>1. /register, do Step 1 &amp; 2.
2. Step 3: keep Monthly; Professional reads $25/mo; click Select Professional, then Pay &amp; Register →.
3. On Stripe enter 4242 4242 4242 4242, future expiry, any CVC/ZIP, pay.</t>
        </is>
      </c>
      <c r="G10" s="11" t="inlineStr">
        <is>
          <t>Stripe accepts payment and returns to the site. You're told to check email to set your password. Stripe amount reads $25.00.</t>
        </is>
      </c>
      <c r="H10" s="12" t="inlineStr">
        <is>
          <t>Not Run</t>
        </is>
      </c>
      <c r="I10" s="11" t="inlineStr"/>
    </row>
    <row r="11" ht="48" customHeight="1">
      <c r="A11" s="9" t="inlineStr">
        <is>
          <t>B3</t>
        </is>
      </c>
      <c r="B11" s="9" t="inlineStr"/>
      <c r="C11" s="10" t="inlineStr">
        <is>
          <t>B — Registration &amp; Payment</t>
        </is>
      </c>
      <c r="D11" s="11" t="inlineStr">
        <is>
          <t>Register Professional (annual)</t>
        </is>
      </c>
      <c r="E11" s="11" t="inlineStr">
        <is>
          <t>Fresh email.</t>
        </is>
      </c>
      <c r="F11" s="11" t="inlineStr">
        <is>
          <t>1. Repeat B2 but on Step 3 flip toggle to Annual first.
2. Professional reads $250/yr (Save $50). Proceed and pay with 4242…</t>
        </is>
      </c>
      <c r="G11" s="11" t="inlineStr">
        <is>
          <t>Stripe charges $250.00 (annual price), not $25.</t>
        </is>
      </c>
      <c r="H11" s="12" t="inlineStr">
        <is>
          <t>Not Run</t>
        </is>
      </c>
      <c r="I11" s="11" t="inlineStr"/>
    </row>
    <row r="12" ht="46" customHeight="1">
      <c r="A12" s="9" t="inlineStr">
        <is>
          <t>B4</t>
        </is>
      </c>
      <c r="B12" s="9" t="inlineStr">
        <is>
          <t>Yes</t>
        </is>
      </c>
      <c r="C12" s="10" t="inlineStr">
        <is>
          <t>B — Registration &amp; Payment</t>
        </is>
      </c>
      <c r="D12" s="11" t="inlineStr">
        <is>
          <t>Register Premier (monthly and annual)</t>
        </is>
      </c>
      <c r="E12" s="11" t="inlineStr">
        <is>
          <t>Fresh email each run.</t>
        </is>
      </c>
      <c r="F12" s="11" t="inlineStr">
        <is>
          <t>1. Register, choose Premier.
2. Monthly reads $50/mo; Annual reads $500/yr.
3. Pay with the success card.</t>
        </is>
      </c>
      <c r="G12" s="11" t="inlineStr">
        <is>
          <t>Stripe charges $50.00 (monthly) or $500.00 (annual) matching the choice.</t>
        </is>
      </c>
      <c r="H12" s="12" t="inlineStr">
        <is>
          <t>Not Run</t>
        </is>
      </c>
      <c r="I12" s="11" t="inlineStr"/>
    </row>
    <row r="13" ht="64" customHeight="1">
      <c r="A13" s="9" t="inlineStr">
        <is>
          <t>B5</t>
        </is>
      </c>
      <c r="B13" s="9" t="inlineStr">
        <is>
          <t>Yes</t>
        </is>
      </c>
      <c r="C13" s="10" t="inlineStr">
        <is>
          <t>B — Registration &amp; Payment</t>
        </is>
      </c>
      <c r="D13" s="11" t="inlineStr">
        <is>
          <t>Set password from invite email, then sign in</t>
        </is>
      </c>
      <c r="E13" s="11" t="inlineStr">
        <is>
          <t>Completed B2; access that inbox.</t>
        </is>
      </c>
      <c r="F13" s="11" t="inlineStr">
        <is>
          <t>1. Open the inbox used in B2.
2. Open the branded email, click its button.
3. On 'Set your password', set New + Confirm Password, click Set Password.
4. Click 'Go to Sign In →' and sign in.</t>
        </is>
      </c>
      <c r="G13" s="11" t="inlineStr">
        <is>
          <t>Link opens the password page (not an error). After setting it you can sign in and reach the dashboard. Plan shows Professional.</t>
        </is>
      </c>
      <c r="H13" s="12" t="inlineStr">
        <is>
          <t>Not Run</t>
        </is>
      </c>
      <c r="I13" s="11" t="inlineStr"/>
    </row>
    <row r="14" ht="48" customHeight="1">
      <c r="A14" s="9" t="inlineStr">
        <is>
          <t>B6</t>
        </is>
      </c>
      <c r="B14" s="9" t="inlineStr"/>
      <c r="C14" s="10" t="inlineStr">
        <is>
          <t>B — Registration &amp; Payment</t>
        </is>
      </c>
      <c r="D14" s="11" t="inlineStr">
        <is>
          <t>Validation blocks incomplete steps</t>
        </is>
      </c>
      <c r="E14" s="11" t="inlineStr">
        <is>
          <t>On /register.</t>
        </is>
      </c>
      <c r="F14" s="11" t="inlineStr">
        <is>
          <t>1. Step 1: click Continue → without a Primary Category.
2. Step 2: clear Company Name (or Name/Email), Continue →.
3. Step 4 (Basic): type two different passwords.</t>
        </is>
      </c>
      <c r="G14" s="11" t="inlineStr">
        <is>
          <t>Each time the form stops you — field flagged and/or button disabled. Mismatched passwords show a clear message and won't submit.</t>
        </is>
      </c>
      <c r="H14" s="12" t="inlineStr">
        <is>
          <t>Not Run</t>
        </is>
      </c>
      <c r="I14" s="11" t="inlineStr"/>
    </row>
    <row r="15" ht="48" customHeight="1">
      <c r="A15" s="9" t="inlineStr">
        <is>
          <t>B7</t>
        </is>
      </c>
      <c r="B15" s="9" t="inlineStr"/>
      <c r="C15" s="10" t="inlineStr">
        <is>
          <t>B — Registration &amp; Payment</t>
        </is>
      </c>
      <c r="D15" s="11" t="inlineStr">
        <is>
          <t>Category / coverage limits match the tier</t>
        </is>
      </c>
      <c r="E15" s="11" t="inlineStr">
        <is>
          <t>Have Basic (B1); optionally Pro &amp; Premier.</t>
        </is>
      </c>
      <c r="F15" s="11" t="inlineStr">
        <is>
          <t>1. As Basic, in the profile/listing editor try to add a 2nd category or service area.
2. Compare allowances across Pro and Premier if available.</t>
        </is>
      </c>
      <c r="G15" s="11" t="inlineStr">
        <is>
          <t>Basic = 1, Professional = 3, Premier = unlimited; exceeding is blocked or prompts upgrade. If not visibly enforced, record it (known to-confirm).</t>
        </is>
      </c>
      <c r="H15" s="12" t="inlineStr">
        <is>
          <t>Not Run</t>
        </is>
      </c>
      <c r="I15" s="11" t="inlineStr"/>
    </row>
    <row r="16" ht="46" customHeight="1">
      <c r="A16" s="5" t="inlineStr">
        <is>
          <t>C1</t>
        </is>
      </c>
      <c r="B16" s="5" t="inlineStr">
        <is>
          <t>Yes</t>
        </is>
      </c>
      <c r="C16" s="6" t="inlineStr">
        <is>
          <t>C — Authentication</t>
        </is>
      </c>
      <c r="D16" s="7" t="inlineStr">
        <is>
          <t>Log in with valid credentials</t>
        </is>
      </c>
      <c r="E16" s="7" t="inlineStr">
        <is>
          <t>Have the Basic account (B1). Incognito.</t>
        </is>
      </c>
      <c r="F16" s="7" t="inlineStr">
        <is>
          <t>1. /login, enter Email, Continue →.
2. Enter Password, click Sign In.</t>
        </is>
      </c>
      <c r="G16" s="7" t="inlineStr">
        <is>
          <t>You land on /dashboard, logged in as that provider.</t>
        </is>
      </c>
      <c r="H16" s="8" t="inlineStr">
        <is>
          <t>Not Run</t>
        </is>
      </c>
      <c r="I16" s="7" t="inlineStr"/>
    </row>
    <row r="17" ht="46" customHeight="1">
      <c r="A17" s="5" t="inlineStr">
        <is>
          <t>C2</t>
        </is>
      </c>
      <c r="B17" s="5" t="inlineStr"/>
      <c r="C17" s="6" t="inlineStr">
        <is>
          <t>C — Authentication</t>
        </is>
      </c>
      <c r="D17" s="7" t="inlineStr">
        <is>
          <t>Log in with the wrong password</t>
        </is>
      </c>
      <c r="E17" s="7" t="inlineStr">
        <is>
          <t>Have an account.</t>
        </is>
      </c>
      <c r="F17" s="7" t="inlineStr">
        <is>
          <t>1. Repeat C1 but type an incorrect password at Sign In.</t>
        </is>
      </c>
      <c r="G17" s="7" t="inlineStr">
        <is>
          <t>A clear error appears; you are NOT logged in / not taken to the dashboard.</t>
        </is>
      </c>
      <c r="H17" s="8" t="inlineStr">
        <is>
          <t>Not Run</t>
        </is>
      </c>
      <c r="I17" s="7" t="inlineStr"/>
    </row>
    <row r="18" ht="48" customHeight="1">
      <c r="A18" s="5" t="inlineStr">
        <is>
          <t>C3</t>
        </is>
      </c>
      <c r="B18" s="5" t="inlineStr">
        <is>
          <t>Yes</t>
        </is>
      </c>
      <c r="C18" s="6" t="inlineStr">
        <is>
          <t>C — Authentication</t>
        </is>
      </c>
      <c r="D18" s="7" t="inlineStr">
        <is>
          <t>Reset a forgotten password</t>
        </is>
      </c>
      <c r="E18" s="7" t="inlineStr">
        <is>
          <t>Have an account + inbox access.</t>
        </is>
      </c>
      <c r="F18" s="7" t="inlineStr">
        <is>
          <t>1. /login, enter email, Continue →, click Forgot password?.
2. Open the 'Reset your password' email, click its button.
3. Set a new password, then sign in with it.</t>
        </is>
      </c>
      <c r="G18" s="7" t="inlineStr">
        <is>
          <t>Reset email arrives (check Spam). Link opens the reset page; new password works; OLD password no longer works.</t>
        </is>
      </c>
      <c r="H18" s="8" t="inlineStr">
        <is>
          <t>Not Run</t>
        </is>
      </c>
      <c r="I18" s="7" t="inlineStr"/>
    </row>
    <row r="19" ht="48" customHeight="1">
      <c r="A19" s="5" t="inlineStr">
        <is>
          <t>C4</t>
        </is>
      </c>
      <c r="B19" s="5" t="inlineStr">
        <is>
          <t>Yes</t>
        </is>
      </c>
      <c r="C19" s="6" t="inlineStr">
        <is>
          <t>C — Authentication</t>
        </is>
      </c>
      <c r="D19" s="7" t="inlineStr">
        <is>
          <t>Admin magic-link login (email only)</t>
        </is>
      </c>
      <c r="E19" s="7" t="inlineStr">
        <is>
          <t>Have admin email + admin inbox.</t>
        </is>
      </c>
      <c r="F19" s="7" t="inlineStr">
        <is>
          <t>1. Incognito → /login.
2. Enter the admin email, click Continue →.</t>
        </is>
      </c>
      <c r="G19" s="7" t="inlineStr">
        <is>
          <t>Switches to 'Check your email' (no password asked). Click the link in the admin inbox → you land in /admin, not /dashboard.</t>
        </is>
      </c>
      <c r="H19" s="8" t="inlineStr">
        <is>
          <t>Not Run</t>
        </is>
      </c>
      <c r="I19" s="7" t="inlineStr"/>
    </row>
    <row r="20" ht="46" customHeight="1">
      <c r="A20" s="5" t="inlineStr">
        <is>
          <t>C5</t>
        </is>
      </c>
      <c r="B20" s="5" t="inlineStr"/>
      <c r="C20" s="6" t="inlineStr">
        <is>
          <t>C — Authentication</t>
        </is>
      </c>
      <c r="D20" s="7" t="inlineStr">
        <is>
          <t>Normal email goes to password login</t>
        </is>
      </c>
      <c r="E20" s="7" t="inlineStr">
        <is>
          <t>Have a regular provider email.</t>
        </is>
      </c>
      <c r="F20" s="7" t="inlineStr">
        <is>
          <t>1. /login, enter a regular provider email, Continue →.</t>
        </is>
      </c>
      <c r="G20" s="7" t="inlineStr">
        <is>
          <t>It asks for a Password (normal login), NOT a magic link.</t>
        </is>
      </c>
      <c r="H20" s="8" t="inlineStr">
        <is>
          <t>Not Run</t>
        </is>
      </c>
      <c r="I20" s="7" t="inlineStr"/>
    </row>
    <row r="21" ht="46" customHeight="1">
      <c r="A21" s="5" t="inlineStr">
        <is>
          <t>C6</t>
        </is>
      </c>
      <c r="B21" s="5" t="inlineStr"/>
      <c r="C21" s="6" t="inlineStr">
        <is>
          <t>C — Authentication</t>
        </is>
      </c>
      <c r="D21" s="7" t="inlineStr">
        <is>
          <t>Protected pages require login</t>
        </is>
      </c>
      <c r="E21" s="7" t="inlineStr">
        <is>
          <t>Fresh incognito, not logged in.</t>
        </is>
      </c>
      <c r="F21" s="7" t="inlineStr">
        <is>
          <t>1. Go directly to /dashboard.</t>
        </is>
      </c>
      <c r="G21" s="7" t="inlineStr">
        <is>
          <t>You are redirected to the login/register screen instead of seeing a dashboard.</t>
        </is>
      </c>
      <c r="H21" s="8" t="inlineStr">
        <is>
          <t>Not Run</t>
        </is>
      </c>
      <c r="I21" s="7" t="inlineStr"/>
    </row>
    <row r="22" ht="48" customHeight="1">
      <c r="A22" s="9" t="inlineStr">
        <is>
          <t>D1</t>
        </is>
      </c>
      <c r="B22" s="9" t="inlineStr"/>
      <c r="C22" s="10" t="inlineStr">
        <is>
          <t>D — Dashboard &amp; Profile</t>
        </is>
      </c>
      <c r="D22" s="11" t="inlineStr">
        <is>
          <t>Dashboard overview loads</t>
        </is>
      </c>
      <c r="E22" s="11" t="inlineStr">
        <is>
          <t>Logged in (use Professional from B5).</t>
        </is>
      </c>
      <c r="F22" s="11" t="inlineStr">
        <is>
          <t>1. View the main dashboard.</t>
        </is>
      </c>
      <c r="G22" s="11" t="inlineStr">
        <is>
          <t>Welcome banner stat cards (Plan Tier, Status, Listing Type, Verified Badge/Member Since), a Profile Completion meter with %, and Quick Actions.</t>
        </is>
      </c>
      <c r="H22" s="12" t="inlineStr">
        <is>
          <t>Not Run</t>
        </is>
      </c>
      <c r="I22" s="11" t="inlineStr"/>
    </row>
    <row r="23" ht="48" customHeight="1">
      <c r="A23" s="9" t="inlineStr">
        <is>
          <t>D2</t>
        </is>
      </c>
      <c r="B23" s="9" t="inlineStr">
        <is>
          <t>Yes</t>
        </is>
      </c>
      <c r="C23" s="10" t="inlineStr">
        <is>
          <t>D — Dashboard &amp; Profile</t>
        </is>
      </c>
      <c r="D23" s="11" t="inlineStr">
        <is>
          <t>Edit profile and confirm it shows publicly</t>
        </is>
      </c>
      <c r="E23" s="11" t="inlineStr">
        <is>
          <t>Logged in.</t>
        </is>
      </c>
      <c r="F23" s="11" t="inlineStr">
        <is>
          <t>1. Open Edit Company Profile (or Profile in sidebar).
2. Change a visible field (e.g. Short Description), save.
3. Open View Public Listing and find the change.</t>
        </is>
      </c>
      <c r="G23" s="11" t="inlineStr">
        <is>
          <t>Save succeeds; the new text appears on your public profile page.</t>
        </is>
      </c>
      <c r="H23" s="12" t="inlineStr">
        <is>
          <t>Not Run</t>
        </is>
      </c>
      <c r="I23" s="11" t="inlineStr"/>
    </row>
    <row r="24" ht="46" customHeight="1">
      <c r="A24" s="9" t="inlineStr">
        <is>
          <t>D3</t>
        </is>
      </c>
      <c r="B24" s="9" t="inlineStr">
        <is>
          <t>Yes</t>
        </is>
      </c>
      <c r="C24" s="10" t="inlineStr">
        <is>
          <t>D — Dashboard &amp; Profile</t>
        </is>
      </c>
      <c r="D24" s="11" t="inlineStr">
        <is>
          <t>Upload a company logo</t>
        </is>
      </c>
      <c r="E24" s="11" t="inlineStr">
        <is>
          <t>Logged in.</t>
        </is>
      </c>
      <c r="F24" s="11" t="inlineStr">
        <is>
          <t>1. In the profile editor use the logo upload to pick an image from your computer.</t>
        </is>
      </c>
      <c r="G24" s="11" t="inlineStr">
        <is>
          <t>Thumbnail preview appears; you can remove/replace; after saving the logo shows on your public listing/card.</t>
        </is>
      </c>
      <c r="H24" s="12" t="inlineStr">
        <is>
          <t>Not Run</t>
        </is>
      </c>
      <c r="I24" s="11" t="inlineStr"/>
    </row>
    <row r="25" ht="46" customHeight="1">
      <c r="A25" s="9" t="inlineStr">
        <is>
          <t>D4</t>
        </is>
      </c>
      <c r="B25" s="9" t="inlineStr"/>
      <c r="C25" s="10" t="inlineStr">
        <is>
          <t>D — Dashboard &amp; Profile</t>
        </is>
      </c>
      <c r="D25" s="11" t="inlineStr">
        <is>
          <t>Upload photo gallery (Premier only)</t>
        </is>
      </c>
      <c r="E25" s="11" t="inlineStr">
        <is>
          <t>Logged in as Premier (B4).</t>
        </is>
      </c>
      <c r="F25" s="11" t="inlineStr">
        <is>
          <t>1. In the profile editor add photos to the gallery.
2. Open your public profile.</t>
        </is>
      </c>
      <c r="G25" s="11" t="inlineStr">
        <is>
          <t>Photos upload and appear in the Photo Gallery. On Basic/Professional the control is locked (see D5).</t>
        </is>
      </c>
      <c r="H25" s="12" t="inlineStr">
        <is>
          <t>Not Run</t>
        </is>
      </c>
      <c r="I25" s="11" t="inlineStr"/>
    </row>
    <row r="26" ht="48" customHeight="1">
      <c r="A26" s="9" t="inlineStr">
        <is>
          <t>D5</t>
        </is>
      </c>
      <c r="B26" s="9" t="inlineStr"/>
      <c r="C26" s="10" t="inlineStr">
        <is>
          <t>D — Dashboard &amp; Profile</t>
        </is>
      </c>
      <c r="D26" s="11" t="inlineStr">
        <is>
          <t>Locked fields show the upgrade path</t>
        </is>
      </c>
      <c r="E26" s="11" t="inlineStr">
        <is>
          <t>Logged in as Basic.</t>
        </is>
      </c>
      <c r="F26" s="11" t="inlineStr">
        <is>
          <t>1. Open the profile editor.</t>
        </is>
      </c>
      <c r="G26" s="11" t="inlineStr">
        <is>
          <t>Paid-only fields (bio, logo, gallery) are greyed/disabled with a ★ upgrade marker and hover tooltip. Nothing is hidden.</t>
        </is>
      </c>
      <c r="H26" s="12" t="inlineStr">
        <is>
          <t>Not Run</t>
        </is>
      </c>
      <c r="I26" s="11" t="inlineStr"/>
    </row>
    <row r="27" ht="48" customHeight="1">
      <c r="A27" s="9" t="inlineStr">
        <is>
          <t>D6</t>
        </is>
      </c>
      <c r="B27" s="9" t="inlineStr"/>
      <c r="C27" s="10" t="inlineStr">
        <is>
          <t>D — Dashboard &amp; Profile</t>
        </is>
      </c>
      <c r="D27" s="11" t="inlineStr">
        <is>
          <t>'View Public Listing' opens the correct page</t>
        </is>
      </c>
      <c r="E27" s="11" t="inlineStr">
        <is>
          <t>Logged in.</t>
        </is>
      </c>
      <c r="F27" s="11" t="inlineStr">
        <is>
          <t>1. From the dashboard click View Public Listing.</t>
        </is>
      </c>
      <c r="G27" s="11" t="inlineStr">
        <is>
          <t>Opens YOUR public profile (URL matches your company). Still correct after a plan change that rotates the URL (see E2).</t>
        </is>
      </c>
      <c r="H27" s="12" t="inlineStr">
        <is>
          <t>Not Run</t>
        </is>
      </c>
      <c r="I27" s="11" t="inlineStr"/>
    </row>
    <row r="28" ht="46" customHeight="1">
      <c r="A28" s="5" t="inlineStr">
        <is>
          <t>E1</t>
        </is>
      </c>
      <c r="B28" s="5" t="inlineStr">
        <is>
          <t>Yes</t>
        </is>
      </c>
      <c r="C28" s="6" t="inlineStr">
        <is>
          <t>E — Plans &amp; Badge</t>
        </is>
      </c>
      <c r="D28" s="7" t="inlineStr">
        <is>
          <t>Upgrade the plan</t>
        </is>
      </c>
      <c r="E28" s="7" t="inlineStr">
        <is>
          <t>Logged in as Basic. Open /dashboard/plans.</t>
        </is>
      </c>
      <c r="F28" s="7" t="inlineStr">
        <is>
          <t>1. Click Upgrade to Professional (or Premier).
2. Complete Stripe checkout with 4242… if prompted.</t>
        </is>
      </c>
      <c r="G28" s="7" t="inlineStr">
        <is>
          <t>After payment the Current Plan banner updates to the new tier; previously-locked features become editable.</t>
        </is>
      </c>
      <c r="H28" s="8" t="inlineStr">
        <is>
          <t>Not Run</t>
        </is>
      </c>
      <c r="I28" s="7" t="inlineStr"/>
    </row>
    <row r="29" ht="64" customHeight="1">
      <c r="A29" s="5" t="inlineStr">
        <is>
          <t>E2</t>
        </is>
      </c>
      <c r="B29" s="5" t="inlineStr"/>
      <c r="C29" s="6" t="inlineStr">
        <is>
          <t>E — Plans &amp; Badge</t>
        </is>
      </c>
      <c r="D29" s="7" t="inlineStr">
        <is>
          <t>Downgrade the plan</t>
        </is>
      </c>
      <c r="E29" s="7" t="inlineStr">
        <is>
          <t>Logged in as Professional/Premier.</t>
        </is>
      </c>
      <c r="F29" s="7" t="inlineStr">
        <is>
          <t>1. Click Downgrade to … on a lower plan.
2. Read the Confirm Downgrade modal (lists features lost), click Confirm Downgrade.</t>
        </is>
      </c>
      <c r="G29" s="7" t="inlineStr">
        <is>
          <t>Warning modal appears first. After confirm, plan changes, paid features re-lock; to-Basic says it won't renew but stays active until period end. Slug may change — verify View Public Listing (D6).</t>
        </is>
      </c>
      <c r="H29" s="8" t="inlineStr">
        <is>
          <t>Not Run</t>
        </is>
      </c>
      <c r="I29" s="7" t="inlineStr"/>
    </row>
    <row r="30" ht="48" customHeight="1">
      <c r="A30" s="5" t="inlineStr">
        <is>
          <t>E3</t>
        </is>
      </c>
      <c r="B30" s="5" t="inlineStr"/>
      <c r="C30" s="6" t="inlineStr">
        <is>
          <t>E — Plans &amp; Badge</t>
        </is>
      </c>
      <c r="D30" s="7" t="inlineStr">
        <is>
          <t>Switch billing monthly ↔ annual</t>
        </is>
      </c>
      <c r="E30" s="7" t="inlineStr">
        <is>
          <t>Logged in as a paid member.</t>
        </is>
      </c>
      <c r="F30" s="7" t="inlineStr">
        <is>
          <t>1. Use the Monthly/Annual toggle and click Switch to Annual (or Switch to Monthly) on your current plan.
2. Complete any Stripe step.</t>
        </is>
      </c>
      <c r="G30" s="7" t="inlineStr">
        <is>
          <t>Billing cycle on the Current Plan banner updates; Stripe prorates; no duplicate subscription is created.</t>
        </is>
      </c>
      <c r="H30" s="8" t="inlineStr">
        <is>
          <t>Not Run</t>
        </is>
      </c>
      <c r="I30" s="7" t="inlineStr"/>
    </row>
    <row r="31" ht="48" customHeight="1">
      <c r="A31" s="5" t="inlineStr">
        <is>
          <t>E4</t>
        </is>
      </c>
      <c r="B31" s="5" t="inlineStr">
        <is>
          <t>Yes</t>
        </is>
      </c>
      <c r="C31" s="6" t="inlineStr">
        <is>
          <t>E — Plans &amp; Badge</t>
        </is>
      </c>
      <c r="D31" s="7" t="inlineStr">
        <is>
          <t>Buy the Verified Badge (Professional+)</t>
        </is>
      </c>
      <c r="E31" s="7" t="inlineStr">
        <is>
          <t>Logged in as Professional.</t>
        </is>
      </c>
      <c r="F31" s="7" t="inlineStr">
        <is>
          <t>1. On the plans page click '✦ Get Verified Badge — $100 one-time →'.
2. Pay $100 with 4242…
3. Badge becomes Active only after admin verifies (run G6, then return).</t>
        </is>
      </c>
      <c r="G31" s="7" t="inlineStr">
        <is>
          <t>Checkout charges $100.00. After admin verification: '✦ Verified Badge Active / OWNED' chip on plans page and a 'GMA Verified' pill on the dashboard.</t>
        </is>
      </c>
      <c r="H31" s="8" t="inlineStr">
        <is>
          <t>Not Run</t>
        </is>
      </c>
      <c r="I31" s="7" t="inlineStr"/>
    </row>
    <row r="32" ht="46" customHeight="1">
      <c r="A32" s="5" t="inlineStr">
        <is>
          <t>E5</t>
        </is>
      </c>
      <c r="B32" s="5" t="inlineStr"/>
      <c r="C32" s="6" t="inlineStr">
        <is>
          <t>E — Plans &amp; Badge</t>
        </is>
      </c>
      <c r="D32" s="7" t="inlineStr">
        <is>
          <t>Badge re-purchase is blocked</t>
        </is>
      </c>
      <c r="E32" s="7" t="inlineStr">
        <is>
          <t>After E4 + G6 (badge owned).</t>
        </is>
      </c>
      <c r="F32" s="7" t="inlineStr">
        <is>
          <t>1. Revisit the plans page.</t>
        </is>
      </c>
      <c r="G32" s="7" t="inlineStr">
        <is>
          <t>The badge button is replaced by the '✦ Verified Badge Active / OWNED' chip — no way to buy it twice.</t>
        </is>
      </c>
      <c r="H32" s="8" t="inlineStr">
        <is>
          <t>Not Run</t>
        </is>
      </c>
      <c r="I32" s="7" t="inlineStr"/>
    </row>
    <row r="33" ht="48" customHeight="1">
      <c r="A33" s="5" t="inlineStr">
        <is>
          <t>E6a</t>
        </is>
      </c>
      <c r="B33" s="5" t="inlineStr"/>
      <c r="C33" s="6" t="inlineStr">
        <is>
          <t>E — Plans &amp; Badge</t>
        </is>
      </c>
      <c r="D33" s="7" t="inlineStr">
        <is>
          <t>Payment declined at checkout</t>
        </is>
      </c>
      <c r="E33" s="7" t="inlineStr">
        <is>
          <t>Logged in as a paid member.</t>
        </is>
      </c>
      <c r="F33" s="7" t="inlineStr">
        <is>
          <t>1. Start an upgrade (E1) or badge purchase (E4) but on Stripe use the declined card 4000 0000 0000 0002.</t>
        </is>
      </c>
      <c r="G33" s="7" t="inlineStr">
        <is>
          <t>Stripe shows a card-declined error; the upgrade/badge does NOT apply; plan stays unchanged; you can retry with a good card.</t>
        </is>
      </c>
      <c r="H33" s="8" t="inlineStr">
        <is>
          <t>Not Run</t>
        </is>
      </c>
      <c r="I33" s="7" t="inlineStr"/>
    </row>
    <row r="34" ht="48" customHeight="1">
      <c r="A34" s="5" t="inlineStr">
        <is>
          <t>E6b</t>
        </is>
      </c>
      <c r="B34" s="5" t="inlineStr"/>
      <c r="C34" s="6" t="inlineStr">
        <is>
          <t>E — Plans &amp; Badge</t>
        </is>
      </c>
      <c r="D34" s="7" t="inlineStr">
        <is>
          <t>Recurring failure → Suspended (ASSISTED — needs Stripe dashboard)</t>
        </is>
      </c>
      <c r="E34" s="7" t="inlineStr">
        <is>
          <t>Paid test subscriber; someone with Stripe access.</t>
        </is>
      </c>
      <c r="F34" s="7" t="inlineStr">
        <is>
          <t>1. Have Stripe access simulate a failed renewal invoice (or use a test clock) for that account.
2. Refresh that account's dashboard.</t>
        </is>
      </c>
      <c r="G34" s="7" t="inlineStr">
        <is>
          <t>Account Status changes to past_due then Suspended; the listing reflects the suspended state.</t>
        </is>
      </c>
      <c r="H34" s="8" t="inlineStr">
        <is>
          <t>Not Run</t>
        </is>
      </c>
      <c r="I34" s="7" t="inlineStr"/>
    </row>
    <row r="35" ht="64" customHeight="1">
      <c r="A35" s="9" t="inlineStr">
        <is>
          <t>F1</t>
        </is>
      </c>
      <c r="B35" s="9" t="inlineStr">
        <is>
          <t>Yes</t>
        </is>
      </c>
      <c r="C35" s="10" t="inlineStr">
        <is>
          <t>F — Claim Flow</t>
        </is>
      </c>
      <c r="D35" s="11" t="inlineStr">
        <is>
          <t>Claim a listing (new account + Basic)</t>
        </is>
      </c>
      <c r="E35" s="11" t="inlineStr">
        <is>
          <t>An ownerless imported listing (ask Paul).</t>
        </is>
      </c>
      <c r="F35" s="11" t="inlineStr">
        <is>
          <t>1. On the ownerless profile click the 'Is this your company?' / Claim link (→ /claim/&lt;slug&gt;).
2. Fill Your Name, Business Email (fresh), optional Role, Password.
3. Under Select Plan choose Basic, click 'Claim Listing — Free'.</t>
        </is>
      </c>
      <c r="G35" s="11" t="inlineStr">
        <is>
          <t>Success screen 'Claim Submitted!' ('under review … 1–2 business days'). The claim now needs admin approval (G5).</t>
        </is>
      </c>
      <c r="H35" s="12" t="inlineStr">
        <is>
          <t>Not Run</t>
        </is>
      </c>
      <c r="I35" s="11" t="inlineStr"/>
    </row>
    <row r="36" ht="46" customHeight="1">
      <c r="A36" s="9" t="inlineStr">
        <is>
          <t>F2</t>
        </is>
      </c>
      <c r="B36" s="9" t="inlineStr"/>
      <c r="C36" s="10" t="inlineStr">
        <is>
          <t>F — Claim Flow</t>
        </is>
      </c>
      <c r="D36" s="11" t="inlineStr">
        <is>
          <t>Start a claim while logged out routes back</t>
        </is>
      </c>
      <c r="E36" s="11" t="inlineStr">
        <is>
          <t>Incognito; an ownerless profile.</t>
        </is>
      </c>
      <c r="F36" s="11" t="inlineStr">
        <is>
          <t>1. Open an ownerless profile, click the claim link.
2. If prompted to sign in/register, complete it.</t>
        </is>
      </c>
      <c r="G36" s="11" t="inlineStr">
        <is>
          <t>After authenticating you return to the claim/listing you started from — not a generic page.</t>
        </is>
      </c>
      <c r="H36" s="12" t="inlineStr">
        <is>
          <t>Not Run</t>
        </is>
      </c>
      <c r="I36" s="11" t="inlineStr"/>
    </row>
    <row r="37" ht="48" customHeight="1">
      <c r="A37" s="9" t="inlineStr">
        <is>
          <t>F3</t>
        </is>
      </c>
      <c r="B37" s="9" t="inlineStr"/>
      <c r="C37" s="10" t="inlineStr">
        <is>
          <t>F — Claim Flow</t>
        </is>
      </c>
      <c r="D37" s="11" t="inlineStr">
        <is>
          <t>Claim-then-pay (must subscribe before editing)</t>
        </is>
      </c>
      <c r="E37" s="11" t="inlineStr">
        <is>
          <t>On /claim/&lt;slug&gt;.</t>
        </is>
      </c>
      <c r="F37" s="11" t="inlineStr">
        <is>
          <t>1. Choose Professional (or Premier); button reads 'Subscribe &amp; Claim — $25/mo' (or chosen price).
2. Complete Stripe checkout with the success card.</t>
        </is>
      </c>
      <c r="G37" s="11" t="inlineStr">
        <is>
          <t>Payment taken; claim submitted for review; listing can't be edited as paid until the claim is approved (G5). Button price matches plan/billing.</t>
        </is>
      </c>
      <c r="H37" s="12" t="inlineStr">
        <is>
          <t>Not Run</t>
        </is>
      </c>
      <c r="I37" s="11" t="inlineStr"/>
    </row>
    <row r="38" ht="64" customHeight="1">
      <c r="A38" s="5" t="inlineStr">
        <is>
          <t>G1</t>
        </is>
      </c>
      <c r="B38" s="5" t="inlineStr"/>
      <c r="C38" s="6" t="inlineStr">
        <is>
          <t>G — Admin Dashboard</t>
        </is>
      </c>
      <c r="D38" s="7" t="inlineStr">
        <is>
          <t>Admin dashboard loads with stats</t>
        </is>
      </c>
      <c r="E38" s="7" t="inlineStr">
        <is>
          <t>Signed in as admin (C4).</t>
        </is>
      </c>
      <c r="F38" s="7" t="inlineStr">
        <is>
          <t>1. After magic-link login you're on /admin.</t>
        </is>
      </c>
      <c r="G38" s="7" t="inlineStr">
        <is>
          <t>Stat cards: Active Listings, New This Week, Pending Registrations, Pending Claims, Pending Badges, By Type. If anything pends, a banner 'N items need your attention…' with 'Review pending →'.</t>
        </is>
      </c>
      <c r="H38" s="8" t="inlineStr">
        <is>
          <t>Not Run</t>
        </is>
      </c>
      <c r="I38" s="7" t="inlineStr"/>
    </row>
    <row r="39" ht="48" customHeight="1">
      <c r="A39" s="5" t="inlineStr">
        <is>
          <t>G2</t>
        </is>
      </c>
      <c r="B39" s="5" t="inlineStr"/>
      <c r="C39" s="6" t="inlineStr">
        <is>
          <t>G — Admin Dashboard</t>
        </is>
      </c>
      <c r="D39" s="7" t="inlineStr">
        <is>
          <t>Search for a registration</t>
        </is>
      </c>
      <c r="E39" s="7" t="inlineStr">
        <is>
          <t>On /admin.</t>
        </is>
      </c>
      <c r="F39" s="7" t="inlineStr">
        <is>
          <t>1. In 'Search by company name or email…' type a test account's name/email.
2. Try the All Types and All Plans dropdowns.</t>
        </is>
      </c>
      <c r="G39" s="7" t="inlineStr">
        <is>
          <t>Table filters to matches; 'X of Y' count updates. Dropdowns narrow the list.</t>
        </is>
      </c>
      <c r="H39" s="8" t="inlineStr">
        <is>
          <t>Not Run</t>
        </is>
      </c>
      <c r="I39" s="7" t="inlineStr"/>
    </row>
    <row r="40" ht="48" customHeight="1">
      <c r="A40" s="5" t="inlineStr">
        <is>
          <t>G3</t>
        </is>
      </c>
      <c r="B40" s="5" t="inlineStr"/>
      <c r="C40" s="6" t="inlineStr">
        <is>
          <t>G — Admin Dashboard</t>
        </is>
      </c>
      <c r="D40" s="7" t="inlineStr">
        <is>
          <t>Editing requires Edit, and saves persist</t>
        </is>
      </c>
      <c r="E40" s="7" t="inlineStr">
        <is>
          <t>On /admin.</t>
        </is>
      </c>
      <c r="F40" s="7" t="inlineStr">
        <is>
          <t>1. Click Edit on a test record's row.
2. Change a field (e.g. HQ City) and click Save Changes.
3. Verify on the table and the public profile.</t>
        </is>
      </c>
      <c r="G40" s="7" t="inlineStr">
        <is>
          <t>Fields are read-only until you click Edit. Save Changes persists (reload to confirm). Cancel discards edits.</t>
        </is>
      </c>
      <c r="H40" s="8" t="inlineStr">
        <is>
          <t>Not Run</t>
        </is>
      </c>
      <c r="I40" s="7" t="inlineStr"/>
    </row>
    <row r="41" ht="48" customHeight="1">
      <c r="A41" s="5" t="inlineStr">
        <is>
          <t>G4</t>
        </is>
      </c>
      <c r="B41" s="5" t="inlineStr">
        <is>
          <t>Yes</t>
        </is>
      </c>
      <c r="C41" s="6" t="inlineStr">
        <is>
          <t>G — Admin Dashboard</t>
        </is>
      </c>
      <c r="D41" s="7" t="inlineStr">
        <is>
          <t>Approve / reject a pending registration</t>
        </is>
      </c>
      <c r="E41" s="7" t="inlineStr">
        <is>
          <t>Have a paid signup from B; on /admin/pending/registrations.</t>
        </is>
      </c>
      <c r="F41" s="7" t="inlineStr">
        <is>
          <t>1. Find a paid signup, click Activate.
2. On a throwaway record click Reject and confirm the dialog.</t>
        </is>
      </c>
      <c r="G41" s="7" t="inlineStr">
        <is>
          <t>Activate moves the listing to active (appears on /services). Reject asks 'Reject and delete this registration?…' and removes it on confirm.</t>
        </is>
      </c>
      <c r="H41" s="8" t="inlineStr">
        <is>
          <t>Not Run</t>
        </is>
      </c>
      <c r="I41" s="7" t="inlineStr"/>
    </row>
    <row r="42" ht="48" customHeight="1">
      <c r="A42" s="5" t="inlineStr">
        <is>
          <t>G5</t>
        </is>
      </c>
      <c r="B42" s="5" t="inlineStr">
        <is>
          <t>Yes</t>
        </is>
      </c>
      <c r="C42" s="6" t="inlineStr">
        <is>
          <t>G — Admin Dashboard</t>
        </is>
      </c>
      <c r="D42" s="7" t="inlineStr">
        <is>
          <t>Approve / reject a pending claim</t>
        </is>
      </c>
      <c r="E42" s="7" t="inlineStr">
        <is>
          <t>Have a claim from F; on /admin/pending/claims.</t>
        </is>
      </c>
      <c r="F42" s="7" t="inlineStr">
        <is>
          <t>1. Find the claim, click Approve.
2. On another test claim click Reject.</t>
        </is>
      </c>
      <c r="G42" s="7" t="inlineStr">
        <is>
          <t>Approve transfers ownership (claimer can now edit from their dashboard). Reject clears the claim so the listing is ownerless again.</t>
        </is>
      </c>
      <c r="H42" s="8" t="inlineStr">
        <is>
          <t>Not Run</t>
        </is>
      </c>
      <c r="I42" s="7" t="inlineStr"/>
    </row>
    <row r="43" ht="64" customHeight="1">
      <c r="A43" s="5" t="inlineStr">
        <is>
          <t>G6</t>
        </is>
      </c>
      <c r="B43" s="5" t="inlineStr">
        <is>
          <t>Yes</t>
        </is>
      </c>
      <c r="C43" s="6" t="inlineStr">
        <is>
          <t>G — Admin Dashboard</t>
        </is>
      </c>
      <c r="D43" s="7" t="inlineStr">
        <is>
          <t>Verify / deny a pending badge</t>
        </is>
      </c>
      <c r="E43" s="7" t="inlineStr">
        <is>
          <t>Have a badge purchase from E4; on /admin/pending/badges.</t>
        </is>
      </c>
      <c r="F43" s="7" t="inlineStr">
        <is>
          <t>1. Find the badge purchase, click '✦ Verify Badge'.
2. On a throwaway badge click Deny and read the confirm dialog.</t>
        </is>
      </c>
      <c r="G43" s="7" t="inlineStr">
        <is>
          <t>Verify Badge marks the provider verified — VERIFIED badge on public profile and OWNED chip on plans page (completes E4/E5). Deny warns a manual refund is needed and removes the pending badge.</t>
        </is>
      </c>
      <c r="H43" s="8" t="inlineStr">
        <is>
          <t>Not Run</t>
        </is>
      </c>
      <c r="I43" s="7" t="inlineStr"/>
    </row>
    <row r="44" ht="48" customHeight="1">
      <c r="A44" s="5" t="inlineStr">
        <is>
          <t>G7</t>
        </is>
      </c>
      <c r="B44" s="5" t="inlineStr">
        <is>
          <t>Yes</t>
        </is>
      </c>
      <c r="C44" s="6" t="inlineStr">
        <is>
          <t>G — Admin Dashboard</t>
        </is>
      </c>
      <c r="D44" s="7" t="inlineStr">
        <is>
          <t>Toggle 'Recommended'</t>
        </is>
      </c>
      <c r="E44" s="7" t="inlineStr">
        <is>
          <t>On /admin.</t>
        </is>
      </c>
      <c r="F44" s="7" t="inlineStr">
        <is>
          <t>1. Edit a record, click the '★ Recommended' toggle on, Save Changes.
2. Open that provider's public profile (Premier shows it clearest).</t>
        </is>
      </c>
      <c r="G44" s="7" t="inlineStr">
        <is>
          <t>Toggle flips to ★ Recommended; after saving the RECOMMENDED badge appears on the public profile. Toggling off removes it.</t>
        </is>
      </c>
      <c r="H44" s="8" t="inlineStr">
        <is>
          <t>Not Run</t>
        </is>
      </c>
      <c r="I44" s="7" t="inlineStr"/>
    </row>
    <row r="45" ht="48" customHeight="1">
      <c r="A45" s="5" t="inlineStr">
        <is>
          <t>G8</t>
        </is>
      </c>
      <c r="B45" s="5" t="inlineStr"/>
      <c r="C45" s="6" t="inlineStr">
        <is>
          <t>G — Admin Dashboard</t>
        </is>
      </c>
      <c r="D45" s="7" t="inlineStr">
        <is>
          <t>Role-based access</t>
        </is>
      </c>
      <c r="E45" s="7" t="inlineStr">
        <is>
          <t>A second admin with a limited role (e.g. 'search') — ask Paul.</t>
        </is>
      </c>
      <c r="F45" s="7" t="inlineStr">
        <is>
          <t>1. Sign in as the limited-role admin.</t>
        </is>
      </c>
      <c r="G45" s="7" t="inlineStr">
        <is>
          <t>That admin sees only allowed areas. e.g. a 'search'-role admin gets NO Edit button on records, while a full 'admin' does.</t>
        </is>
      </c>
      <c r="H45" s="8" t="inlineStr">
        <is>
          <t>Not Run</t>
        </is>
      </c>
      <c r="I45" s="7" t="inlineStr"/>
    </row>
    <row r="46" ht="48" customHeight="1">
      <c r="A46" s="9" t="inlineStr">
        <is>
          <t>H1</t>
        </is>
      </c>
      <c r="B46" s="9" t="inlineStr"/>
      <c r="C46" s="10" t="inlineStr">
        <is>
          <t>H — Email Notifications</t>
        </is>
      </c>
      <c r="D46" s="11" t="inlineStr">
        <is>
          <t>Invite email on a paid registration</t>
        </is>
      </c>
      <c r="E46" s="11" t="inlineStr">
        <is>
          <t>Completed B2; inbox access.</t>
        </is>
      </c>
      <c r="F46" s="11" t="inlineStr">
        <is>
          <t>1. Open the inbox for that email.</t>
        </is>
      </c>
      <c r="G46" s="11" t="inlineStr">
        <is>
          <t>A branded 'Global Mobility Adviser' email with a working button that opens the 'Set your password' page (same link as B5). Check Spam/Promotions.</t>
        </is>
      </c>
      <c r="H46" s="12" t="inlineStr">
        <is>
          <t>Not Run</t>
        </is>
      </c>
      <c r="I46" s="11" t="inlineStr"/>
    </row>
    <row r="47" ht="46" customHeight="1">
      <c r="A47" s="9" t="inlineStr">
        <is>
          <t>H2</t>
        </is>
      </c>
      <c r="B47" s="9" t="inlineStr"/>
      <c r="C47" s="10" t="inlineStr">
        <is>
          <t>H — Email Notifications</t>
        </is>
      </c>
      <c r="D47" s="11" t="inlineStr">
        <is>
          <t>Password-reset email</t>
        </is>
      </c>
      <c r="E47" s="11" t="inlineStr">
        <is>
          <t>Trigger a reset (C3).</t>
        </is>
      </c>
      <c r="F47" s="11" t="inlineStr">
        <is>
          <t>1. Trigger a reset as in C3 and open the inbox.</t>
        </is>
      </c>
      <c r="G47" s="11" t="inlineStr">
        <is>
          <t>A branded 'Reset your password' email arrives with a working reset button.</t>
        </is>
      </c>
      <c r="H47" s="12" t="inlineStr">
        <is>
          <t>Not Run</t>
        </is>
      </c>
      <c r="I47" s="11" t="inlineStr"/>
    </row>
    <row r="48" ht="48" customHeight="1">
      <c r="A48" s="9" t="inlineStr">
        <is>
          <t>H3</t>
        </is>
      </c>
      <c r="B48" s="9" t="inlineStr"/>
      <c r="C48" s="10" t="inlineStr">
        <is>
          <t>H — Email Notifications</t>
        </is>
      </c>
      <c r="D48" s="11" t="inlineStr">
        <is>
          <t>Admin notification on a badge purchase</t>
        </is>
      </c>
      <c r="E48" s="11" t="inlineStr">
        <is>
          <t>After a badge purchase (E4); admin inbox access.</t>
        </is>
      </c>
      <c r="F48" s="11" t="inlineStr">
        <is>
          <t>1. After the badge purchase, check the admin inbox(es).</t>
        </is>
      </c>
      <c r="G48" s="11" t="inlineStr">
        <is>
          <t>An admin notification email arrives saying a badge was purchased and needs verification. If multiple admins are configured, each receives it.</t>
        </is>
      </c>
      <c r="H48" s="12" t="inlineStr">
        <is>
          <t>Not Run</t>
        </is>
      </c>
      <c r="I48" s="11" t="inlineStr"/>
    </row>
  </sheetData>
  <dataValidations count="1">
    <dataValidation sqref="H2 H3 H4 H5 H6 H7 H8 H9 H10 H11 H12 H13 H14 H15 H16 H17 H18 H19 H20 H21 H22 H23 H24 H25 H26 H27 H28 H29 H30 H31 H32 H33 H34 H35 H36 H37 H38 H39 H40 H41 H42 H43 H44 H45 H46 H47 H48" showDropDown="0" showInputMessage="0" showErrorMessage="0" allowBlank="1" type="list">
      <formula1>"Pass,Fail,Blocked,Not Run"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showGridLines="0" workbookViewId="0">
      <selection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s>
  <sheetData>
    <row r="1">
      <c r="A1" s="13" t="inlineStr">
        <is>
          <t>Test Run Summary</t>
        </is>
      </c>
    </row>
    <row r="3">
      <c r="A3" s="14" t="inlineStr">
        <is>
          <t>Tester:</t>
        </is>
      </c>
      <c r="B3" t="inlineStr"/>
    </row>
    <row r="4">
      <c r="A4" s="14" t="inlineStr">
        <is>
          <t>Date:</t>
        </is>
      </c>
      <c r="B4" t="inlineStr"/>
    </row>
    <row r="5">
      <c r="A5" s="14" t="inlineStr">
        <is>
          <t>Build / URL tested:</t>
        </is>
      </c>
      <c r="B5" t="inlineStr">
        <is>
          <t>https://partnerportal.gmaadmin001.workers.dev</t>
        </is>
      </c>
    </row>
    <row r="7">
      <c r="A7" s="15" t="inlineStr">
        <is>
          <t>Section</t>
        </is>
      </c>
      <c r="B7" s="15" t="inlineStr">
        <is>
          <t>Total</t>
        </is>
      </c>
      <c r="C7" s="15" t="inlineStr">
        <is>
          <t>Pass</t>
        </is>
      </c>
      <c r="D7" s="15" t="inlineStr">
        <is>
          <t>Fail</t>
        </is>
      </c>
      <c r="E7" s="15" t="inlineStr">
        <is>
          <t>Blocked</t>
        </is>
      </c>
      <c r="F7" s="15" t="inlineStr">
        <is>
          <t>Not Run</t>
        </is>
      </c>
    </row>
    <row r="8">
      <c r="A8" s="16" t="inlineStr">
        <is>
          <t>A — Public Directory &amp; Search</t>
        </is>
      </c>
      <c r="B8" s="17">
        <f>COUNTIF('Test Cases'!$B$2:$B$48,"A —*")</f>
        <v/>
      </c>
      <c r="C8" s="17">
        <f>COUNTIFS('Test Cases'!$B$2:$B$48,"A —*",'Test Cases'!$G$2:$G$48,"Pass")</f>
        <v/>
      </c>
      <c r="D8" s="17">
        <f>COUNTIFS('Test Cases'!$B$2:$B$48,"A —*",'Test Cases'!$G$2:$G$48,"Fail")</f>
        <v/>
      </c>
      <c r="E8" s="17">
        <f>COUNTIFS('Test Cases'!$B$2:$B$48,"A —*",'Test Cases'!$G$2:$G$48,"Blocked")</f>
        <v/>
      </c>
      <c r="F8" s="17">
        <f>COUNTIFS('Test Cases'!$B$2:$B$48,"A —*",'Test Cases'!$G$2:$G$48,"Not Run")</f>
        <v/>
      </c>
    </row>
    <row r="9">
      <c r="A9" s="16" t="inlineStr">
        <is>
          <t>B — Registration &amp; Payment</t>
        </is>
      </c>
      <c r="B9" s="17">
        <f>COUNTIF('Test Cases'!$B$2:$B$48,"B —*")</f>
        <v/>
      </c>
      <c r="C9" s="17">
        <f>COUNTIFS('Test Cases'!$B$2:$B$48,"B —*",'Test Cases'!$G$2:$G$48,"Pass")</f>
        <v/>
      </c>
      <c r="D9" s="17">
        <f>COUNTIFS('Test Cases'!$B$2:$B$48,"B —*",'Test Cases'!$G$2:$G$48,"Fail")</f>
        <v/>
      </c>
      <c r="E9" s="17">
        <f>COUNTIFS('Test Cases'!$B$2:$B$48,"B —*",'Test Cases'!$G$2:$G$48,"Blocked")</f>
        <v/>
      </c>
      <c r="F9" s="17">
        <f>COUNTIFS('Test Cases'!$B$2:$B$48,"B —*",'Test Cases'!$G$2:$G$48,"Not Run")</f>
        <v/>
      </c>
    </row>
    <row r="10">
      <c r="A10" s="16" t="inlineStr">
        <is>
          <t>C — Authentication</t>
        </is>
      </c>
      <c r="B10" s="17">
        <f>COUNTIF('Test Cases'!$B$2:$B$48,"C —*")</f>
        <v/>
      </c>
      <c r="C10" s="17">
        <f>COUNTIFS('Test Cases'!$B$2:$B$48,"C —*",'Test Cases'!$G$2:$G$48,"Pass")</f>
        <v/>
      </c>
      <c r="D10" s="17">
        <f>COUNTIFS('Test Cases'!$B$2:$B$48,"C —*",'Test Cases'!$G$2:$G$48,"Fail")</f>
        <v/>
      </c>
      <c r="E10" s="17">
        <f>COUNTIFS('Test Cases'!$B$2:$B$48,"C —*",'Test Cases'!$G$2:$G$48,"Blocked")</f>
        <v/>
      </c>
      <c r="F10" s="17">
        <f>COUNTIFS('Test Cases'!$B$2:$B$48,"C —*",'Test Cases'!$G$2:$G$48,"Not Run")</f>
        <v/>
      </c>
    </row>
    <row r="11">
      <c r="A11" s="16" t="inlineStr">
        <is>
          <t>D — Dashboard &amp; Profile</t>
        </is>
      </c>
      <c r="B11" s="17">
        <f>COUNTIF('Test Cases'!$B$2:$B$48,"D —*")</f>
        <v/>
      </c>
      <c r="C11" s="17">
        <f>COUNTIFS('Test Cases'!$B$2:$B$48,"D —*",'Test Cases'!$G$2:$G$48,"Pass")</f>
        <v/>
      </c>
      <c r="D11" s="17">
        <f>COUNTIFS('Test Cases'!$B$2:$B$48,"D —*",'Test Cases'!$G$2:$G$48,"Fail")</f>
        <v/>
      </c>
      <c r="E11" s="17">
        <f>COUNTIFS('Test Cases'!$B$2:$B$48,"D —*",'Test Cases'!$G$2:$G$48,"Blocked")</f>
        <v/>
      </c>
      <c r="F11" s="17">
        <f>COUNTIFS('Test Cases'!$B$2:$B$48,"D —*",'Test Cases'!$G$2:$G$48,"Not Run")</f>
        <v/>
      </c>
    </row>
    <row r="12">
      <c r="A12" s="16" t="inlineStr">
        <is>
          <t>E — Plans &amp; Badge</t>
        </is>
      </c>
      <c r="B12" s="17">
        <f>COUNTIF('Test Cases'!$B$2:$B$48,"E —*")</f>
        <v/>
      </c>
      <c r="C12" s="17">
        <f>COUNTIFS('Test Cases'!$B$2:$B$48,"E —*",'Test Cases'!$G$2:$G$48,"Pass")</f>
        <v/>
      </c>
      <c r="D12" s="17">
        <f>COUNTIFS('Test Cases'!$B$2:$B$48,"E —*",'Test Cases'!$G$2:$G$48,"Fail")</f>
        <v/>
      </c>
      <c r="E12" s="17">
        <f>COUNTIFS('Test Cases'!$B$2:$B$48,"E —*",'Test Cases'!$G$2:$G$48,"Blocked")</f>
        <v/>
      </c>
      <c r="F12" s="17">
        <f>COUNTIFS('Test Cases'!$B$2:$B$48,"E —*",'Test Cases'!$G$2:$G$48,"Not Run")</f>
        <v/>
      </c>
    </row>
    <row r="13">
      <c r="A13" s="16" t="inlineStr">
        <is>
          <t>F — Claim Flow</t>
        </is>
      </c>
      <c r="B13" s="17">
        <f>COUNTIF('Test Cases'!$B$2:$B$48,"F —*")</f>
        <v/>
      </c>
      <c r="C13" s="17">
        <f>COUNTIFS('Test Cases'!$B$2:$B$48,"F —*",'Test Cases'!$G$2:$G$48,"Pass")</f>
        <v/>
      </c>
      <c r="D13" s="17">
        <f>COUNTIFS('Test Cases'!$B$2:$B$48,"F —*",'Test Cases'!$G$2:$G$48,"Fail")</f>
        <v/>
      </c>
      <c r="E13" s="17">
        <f>COUNTIFS('Test Cases'!$B$2:$B$48,"F —*",'Test Cases'!$G$2:$G$48,"Blocked")</f>
        <v/>
      </c>
      <c r="F13" s="17">
        <f>COUNTIFS('Test Cases'!$B$2:$B$48,"F —*",'Test Cases'!$G$2:$G$48,"Not Run")</f>
        <v/>
      </c>
    </row>
    <row r="14">
      <c r="A14" s="16" t="inlineStr">
        <is>
          <t>G — Admin Dashboard</t>
        </is>
      </c>
      <c r="B14" s="17">
        <f>COUNTIF('Test Cases'!$B$2:$B$48,"G —*")</f>
        <v/>
      </c>
      <c r="C14" s="17">
        <f>COUNTIFS('Test Cases'!$B$2:$B$48,"G —*",'Test Cases'!$G$2:$G$48,"Pass")</f>
        <v/>
      </c>
      <c r="D14" s="17">
        <f>COUNTIFS('Test Cases'!$B$2:$B$48,"G —*",'Test Cases'!$G$2:$G$48,"Fail")</f>
        <v/>
      </c>
      <c r="E14" s="17">
        <f>COUNTIFS('Test Cases'!$B$2:$B$48,"G —*",'Test Cases'!$G$2:$G$48,"Blocked")</f>
        <v/>
      </c>
      <c r="F14" s="17">
        <f>COUNTIFS('Test Cases'!$B$2:$B$48,"G —*",'Test Cases'!$G$2:$G$48,"Not Run")</f>
        <v/>
      </c>
    </row>
    <row r="15">
      <c r="A15" s="16" t="inlineStr">
        <is>
          <t>H — Email Notifications</t>
        </is>
      </c>
      <c r="B15" s="17">
        <f>COUNTIF('Test Cases'!$B$2:$B$48,"H —*")</f>
        <v/>
      </c>
      <c r="C15" s="17">
        <f>COUNTIFS('Test Cases'!$B$2:$B$48,"H —*",'Test Cases'!$G$2:$G$48,"Pass")</f>
        <v/>
      </c>
      <c r="D15" s="17">
        <f>COUNTIFS('Test Cases'!$B$2:$B$48,"H —*",'Test Cases'!$G$2:$G$48,"Fail")</f>
        <v/>
      </c>
      <c r="E15" s="17">
        <f>COUNTIFS('Test Cases'!$B$2:$B$48,"H —*",'Test Cases'!$G$2:$G$48,"Blocked")</f>
        <v/>
      </c>
      <c r="F15" s="17">
        <f>COUNTIFS('Test Cases'!$B$2:$B$48,"H —*",'Test Cases'!$G$2:$G$48,"Not Run")</f>
        <v/>
      </c>
    </row>
    <row r="16">
      <c r="A16" s="18" t="inlineStr">
        <is>
          <t>TOTAL</t>
        </is>
      </c>
      <c r="B16" s="19">
        <f>SUM(B8:B15)</f>
        <v/>
      </c>
      <c r="C16" s="19">
        <f>SUM(C8:C15)</f>
        <v/>
      </c>
      <c r="D16" s="19">
        <f>SUM(D8:D15)</f>
        <v/>
      </c>
      <c r="E16" s="19">
        <f>SUM(E8:E15)</f>
        <v/>
      </c>
      <c r="F16" s="19">
        <f>SUM(F8:F15)</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2026-06-25T17:45:09Z</dcterms:created>
  <dcterms:modified xsi:type="dcterms:W3CDTF">2026-06-25T17:45:09Z</dcterms:modified>
</cp:coreProperties>
</file>